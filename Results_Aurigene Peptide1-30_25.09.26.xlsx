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Henkel\HENKEL_PHASE2\FilesNeeded\"/>
    </mc:Choice>
  </mc:AlternateContent>
  <xr:revisionPtr revIDLastSave="0" documentId="8_{D7FDA7F6-A2F1-4221-B067-E20684455108}" xr6:coauthVersionLast="47" xr6:coauthVersionMax="47" xr10:uidLastSave="{00000000-0000-0000-0000-000000000000}"/>
  <bookViews>
    <workbookView xWindow="-110" yWindow="-110" windowWidth="19420" windowHeight="10300" xr2:uid="{00000000-000D-0000-FFFF-FFFF00000000}"/>
  </bookViews>
  <sheets>
    <sheet name="Results" sheetId="1" r:id="rId1"/>
    <sheet name="Test protocol" sheetId="3" r:id="rId2"/>
    <sheet name="Peptidelis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 l="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5" i="1"/>
  <c r="I4" i="1"/>
</calcChain>
</file>

<file path=xl/sharedStrings.xml><?xml version="1.0" encoding="utf-8"?>
<sst xmlns="http://schemas.openxmlformats.org/spreadsheetml/2006/main" count="145" uniqueCount="118">
  <si>
    <t>HOL (selfstained)</t>
  </si>
  <si>
    <t>JOH (selfstained)</t>
  </si>
  <si>
    <t>CS-112</t>
  </si>
  <si>
    <t>CS-115</t>
  </si>
  <si>
    <t>wfk 10 BB</t>
  </si>
  <si>
    <t>wfk 10 WB</t>
  </si>
  <si>
    <t>Blank</t>
  </si>
  <si>
    <t>PAP 3mM</t>
  </si>
  <si>
    <t>DTA5 (1)</t>
  </si>
  <si>
    <t>DTA5 (2)</t>
  </si>
  <si>
    <t>Auri_1</t>
  </si>
  <si>
    <t>Auri_2</t>
  </si>
  <si>
    <t>Auri_3</t>
  </si>
  <si>
    <t>Auri_4</t>
  </si>
  <si>
    <t>Auri_5</t>
  </si>
  <si>
    <t>Auri_6</t>
  </si>
  <si>
    <t>Auri_7</t>
  </si>
  <si>
    <t>Auri_8</t>
  </si>
  <si>
    <t>Auri_9</t>
  </si>
  <si>
    <t>Auri_10</t>
  </si>
  <si>
    <t>Auri_11</t>
  </si>
  <si>
    <t>Auri_12</t>
  </si>
  <si>
    <t>Auri_13</t>
  </si>
  <si>
    <t>Auri_14</t>
  </si>
  <si>
    <t>Auri_15</t>
  </si>
  <si>
    <t>Auri_16</t>
  </si>
  <si>
    <t>Auri_17</t>
  </si>
  <si>
    <t>Auri_18</t>
  </si>
  <si>
    <t>Auri_19</t>
  </si>
  <si>
    <t>Auri_20</t>
  </si>
  <si>
    <t>Auri_21</t>
  </si>
  <si>
    <t>Auri_22</t>
  </si>
  <si>
    <t>Auri_23</t>
  </si>
  <si>
    <t>Auri_24</t>
  </si>
  <si>
    <t>Auri_25</t>
  </si>
  <si>
    <t>Auri_26</t>
  </si>
  <si>
    <t>Auri_27</t>
  </si>
  <si>
    <t>Auri_28</t>
  </si>
  <si>
    <t>Auri_29</t>
  </si>
  <si>
    <t>Auri_30</t>
  </si>
  <si>
    <t>Sum</t>
  </si>
  <si>
    <t>Stain</t>
  </si>
  <si>
    <t xml:space="preserve">Template_Design </t>
  </si>
  <si>
    <t xml:space="preserve">Peptid Nr. </t>
  </si>
  <si>
    <t>Peptide_Sequence</t>
  </si>
  <si>
    <t>3AA_SPACERS_CENTER</t>
  </si>
  <si>
    <t>KGKEKHGREEDSE</t>
  </si>
  <si>
    <t>RGRETDSKDIHGE</t>
  </si>
  <si>
    <t>HGKEGDSRDAEGD</t>
  </si>
  <si>
    <t>RGKEIDTKDTEGD</t>
  </si>
  <si>
    <t>KGRDIEGREAHGD</t>
  </si>
  <si>
    <t>4AA_SPACERS_CENTER</t>
  </si>
  <si>
    <t>KGREREDSKEKIDGE</t>
  </si>
  <si>
    <t>HGKEIKHTRDTAEGD</t>
  </si>
  <si>
    <t>RGRDIKEGKEREDAE</t>
  </si>
  <si>
    <t>KGEREDSDTYEGKEE</t>
  </si>
  <si>
    <t>HGDTAHEGEERHGKE</t>
  </si>
  <si>
    <t>MOTIFS_center_DifferLength</t>
  </si>
  <si>
    <t>KKGGEETYEDSEE</t>
  </si>
  <si>
    <t>KSGSDTGHTED</t>
  </si>
  <si>
    <t>RSGSETHSEE</t>
  </si>
  <si>
    <t>KSGSRETGDAEE</t>
  </si>
  <si>
    <t>RRGEEREEDTSDE</t>
  </si>
  <si>
    <t>Motifs_at_N_Terminal</t>
  </si>
  <si>
    <t>KDTGEGSRREEEE</t>
  </si>
  <si>
    <t>RDKHSGSKKEEDD</t>
  </si>
  <si>
    <t>RDYTHSGSREED</t>
  </si>
  <si>
    <t>RDIESGSKKEEEE</t>
  </si>
  <si>
    <t>KDIKESGSKKEDEE</t>
  </si>
  <si>
    <t>Motifs_at_C_Terminal</t>
  </si>
  <si>
    <t>HHSGSREETGED</t>
  </si>
  <si>
    <t>KEESGKDREH</t>
  </si>
  <si>
    <t>REESGGRETYD</t>
  </si>
  <si>
    <t>REETGSKDKIE</t>
  </si>
  <si>
    <t>REETSRETGD</t>
  </si>
  <si>
    <t>EExxED_ExxH (15+AA)</t>
  </si>
  <si>
    <t>RSSEEKIEDTSGEYTHTDE</t>
  </si>
  <si>
    <t>KGEEEREEDTREKIDTE</t>
  </si>
  <si>
    <t>KAEETYEDETADSDEEE</t>
  </si>
  <si>
    <t>RGKEETGEDEDDIKEDD</t>
  </si>
  <si>
    <t>KTGEETAEDSGDERESE</t>
  </si>
  <si>
    <t>The peptide solutions were prepared in peptide buffer (200 mM Tris/HCl in H₂O, 16 °dH, pH 8.0 at 40°C) and applied in the wash liquor at a final concentration of 9 mg/L (w/v). A PAP (phthalimidoperoxycaproic acid) solution was used as a positive control at a final concentration of 3 mM.</t>
  </si>
  <si>
    <t>The following four stains were used to evaluate washing performance:</t>
  </si>
  <si>
    <r>
      <t>JOH</t>
    </r>
    <r>
      <rPr>
        <sz val="11"/>
        <color theme="1"/>
        <rFont val="Segoe UI"/>
        <family val="2"/>
      </rPr>
      <t>: blackcurrant juice on cotton</t>
    </r>
  </si>
  <si>
    <r>
      <t>wfk 10WB</t>
    </r>
    <r>
      <rPr>
        <sz val="11"/>
        <color theme="1"/>
        <rFont val="Segoe UI"/>
        <family val="2"/>
      </rPr>
      <t>: blackberry juice on cotton</t>
    </r>
  </si>
  <si>
    <r>
      <t>C-S-112</t>
    </r>
    <r>
      <rPr>
        <sz val="11"/>
        <color theme="1"/>
        <rFont val="Segoe UI"/>
        <family val="2"/>
      </rPr>
      <t>: blackcurrant juice on cotton</t>
    </r>
  </si>
  <si>
    <r>
      <t>C-S-115</t>
    </r>
    <r>
      <rPr>
        <sz val="11"/>
        <color theme="1"/>
        <rFont val="Segoe UI"/>
        <family val="2"/>
      </rPr>
      <t>: non-aged bilberry (blueberry) juice on cotton</t>
    </r>
  </si>
  <si>
    <r>
      <t xml:space="preserve">The </t>
    </r>
    <r>
      <rPr>
        <b/>
        <sz val="11"/>
        <color theme="1"/>
        <rFont val="Segoe UI"/>
        <family val="2"/>
      </rPr>
      <t>JOH</t>
    </r>
    <r>
      <rPr>
        <sz val="11"/>
        <color theme="1"/>
        <rFont val="Segoe UI"/>
        <family val="2"/>
      </rPr>
      <t xml:space="preserve"> and </t>
    </r>
    <r>
      <rPr>
        <b/>
        <sz val="11"/>
        <color theme="1"/>
        <rFont val="Segoe UI"/>
        <family val="2"/>
      </rPr>
      <t>HOL</t>
    </r>
    <r>
      <rPr>
        <sz val="11"/>
        <color theme="1"/>
        <rFont val="Segoe UI"/>
        <family val="2"/>
      </rPr>
      <t xml:space="preserve"> stain was prepared in-house by staining WFK 10A cotton fabric with blackcurrant juice (dmBio brand, cloudy blackcurrant direct juice = JOH) and Elderberry Juice = HOL. The fabric swatches were soaked in the juice and subsequently dried. The procedure was then repeated, followed by thermal fixation at 80°C for 2 hours.</t>
    </r>
  </si>
  <si>
    <r>
      <rPr>
        <b/>
        <sz val="12"/>
        <color theme="1"/>
        <rFont val="Calibri"/>
        <family val="2"/>
        <scheme val="minor"/>
      </rPr>
      <t>HOL:</t>
    </r>
    <r>
      <rPr>
        <sz val="12"/>
        <color theme="1"/>
        <rFont val="Calibri"/>
        <family val="2"/>
        <scheme val="minor"/>
      </rPr>
      <t xml:space="preserve"> elderberry juice</t>
    </r>
  </si>
  <si>
    <r>
      <t xml:space="preserve">wfk 10BB: </t>
    </r>
    <r>
      <rPr>
        <sz val="11"/>
        <color theme="1"/>
        <rFont val="Segoe UI"/>
        <family val="2"/>
      </rPr>
      <t>blueberry juice on cotton</t>
    </r>
  </si>
  <si>
    <r>
      <t xml:space="preserve">wfk 10 WB, wfk 10BB, CS-112 </t>
    </r>
    <r>
      <rPr>
        <sz val="11"/>
        <color theme="1"/>
        <rFont val="Segoe UI"/>
        <family val="2"/>
      </rPr>
      <t>and</t>
    </r>
    <r>
      <rPr>
        <b/>
        <sz val="11"/>
        <color theme="1"/>
        <rFont val="Segoe UI"/>
        <family val="2"/>
      </rPr>
      <t xml:space="preserve"> CS-115</t>
    </r>
    <r>
      <rPr>
        <sz val="11"/>
        <color theme="1"/>
        <rFont val="Segoe UI"/>
        <family val="2"/>
      </rPr>
      <t xml:space="preserve"> are comercially available standard stains</t>
    </r>
  </si>
  <si>
    <t>Table 2: Detergent Matrix Used</t>
  </si>
  <si>
    <t>Component</t>
  </si>
  <si>
    <t>wt.-%</t>
  </si>
  <si>
    <t>Alkylbenzene sulfonic acid</t>
  </si>
  <si>
    <t>C12-C18 fatty acid</t>
  </si>
  <si>
    <t>Ethoxylated C12-C18 fatty alcohol, 7 EO</t>
  </si>
  <si>
    <t>Alkoxylated alkanolamine</t>
  </si>
  <si>
    <t>1,2-Propanediol</t>
  </si>
  <si>
    <t>Glycerol</t>
  </si>
  <si>
    <t>Monoethanolamine</t>
  </si>
  <si>
    <t>DTPMP</t>
  </si>
  <si>
    <t>Propylene glycol terephthalate</t>
  </si>
  <si>
    <t>Other additives¹</t>
  </si>
  <si>
    <t>Water</t>
  </si>
  <si>
    <t>Balance</t>
  </si>
  <si>
    <r>
      <t xml:space="preserve">¹ </t>
    </r>
    <r>
      <rPr>
        <b/>
        <sz val="12"/>
        <color theme="1"/>
        <rFont val="Segoe UI"/>
        <family val="2"/>
      </rPr>
      <t>Other additives:</t>
    </r>
    <r>
      <rPr>
        <sz val="12"/>
        <color theme="1"/>
        <rFont val="Segoe UI"/>
        <family val="2"/>
      </rPr>
      <t xml:space="preserve"> bittering agents, bleaching agents, preservatives, colorants, fragrances, and enzymes (amylase, mannanase, dispersin, lipase, pectate lyase, and anti-greying cellulase).</t>
    </r>
  </si>
  <si>
    <t>Wash Performance Evaluation</t>
  </si>
  <si>
    <t>Fabric swatches (diameter = 10 mm) were punched out and placed into microtiter plates. The wash liquor was preheated to 40°C and used at a final detergent concentration of 1.00 g/L. A total of 950 µL of wash liquor and 50 µL of either peptide solution, peptide buffer without peptide (blank control), or PAP solution (positive control) were added to the stained fabric samples.</t>
  </si>
  <si>
    <t>The samples were incubated for 30 minutes at 40°C and 650 rpm. Subsequently, the stained fabrics were rinsed several times with deionized water, allowed to dry, and analyzed using a color measurement device (MACH 5, Multi Area Color Measurement, CFTBV.nl) to determine fabric brightness.</t>
  </si>
  <si>
    <r>
      <t xml:space="preserve">Cleaning performance was assessed based on the increase in fabric brightness. The brighter the fabric became, the better the cleaning performance. The measured parameter was the </t>
    </r>
    <r>
      <rPr>
        <b/>
        <sz val="12"/>
        <color theme="1"/>
        <rFont val="Segoe UI"/>
        <family val="2"/>
      </rPr>
      <t>Y value (brightness)</t>
    </r>
    <r>
      <rPr>
        <sz val="12"/>
        <color theme="1"/>
        <rFont val="Segoe UI"/>
        <family val="2"/>
      </rPr>
      <t>, where higher values indicate greater brightness.</t>
    </r>
  </si>
  <si>
    <r>
      <t xml:space="preserve">The results reported in </t>
    </r>
    <r>
      <rPr>
        <b/>
        <sz val="12"/>
        <color theme="1"/>
        <rFont val="Segoe UI"/>
        <family val="2"/>
      </rPr>
      <t>Table 3</t>
    </r>
    <r>
      <rPr>
        <sz val="12"/>
        <color theme="1"/>
        <rFont val="Segoe UI"/>
        <family val="2"/>
      </rPr>
      <t xml:space="preserve"> are expressed as </t>
    </r>
    <r>
      <rPr>
        <b/>
        <sz val="12"/>
        <color theme="1"/>
        <rFont val="Segoe UI"/>
        <family val="2"/>
      </rPr>
      <t>ΔY values</t>
    </r>
    <r>
      <rPr>
        <sz val="12"/>
        <color theme="1"/>
        <rFont val="Segoe UI"/>
        <family val="2"/>
      </rPr>
      <t>, defined as the difference between the respective test samples (detergent plus peptide solution) and the control (detergent without peptide solution).</t>
    </r>
  </si>
  <si>
    <r>
      <t xml:space="preserve">Using the applied method, a </t>
    </r>
    <r>
      <rPr>
        <b/>
        <sz val="12"/>
        <color theme="1"/>
        <rFont val="Segoe UI"/>
        <family val="2"/>
      </rPr>
      <t>ΔY value greater than 0.5 is considered significant</t>
    </r>
    <r>
      <rPr>
        <sz val="12"/>
        <color theme="1"/>
        <rFont val="Segoe UI"/>
        <family val="2"/>
      </rPr>
      <t>.</t>
    </r>
  </si>
  <si>
    <t>DTA5 was used equimolar (1) and with 4.5 % (w/v) (2)</t>
  </si>
  <si>
    <t xml:space="preserve">Activity </t>
  </si>
  <si>
    <t>Bad</t>
  </si>
  <si>
    <t>Okay</t>
  </si>
  <si>
    <t>Great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</si>
</sst>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1"/>
      <color theme="1"/>
      <name val="Calibri"/>
      <family val="2"/>
      <scheme val="minor"/>
    </font>
    <font>
      <sz val="7"/>
      <color theme="1"/>
      <name val="Segoe UI"/>
      <family val="2"/>
    </font>
    <font>
      <sz val="11"/>
      <color theme="1"/>
      <name val="Segoe UI"/>
      <family val="2"/>
    </font>
    <font>
      <b/>
      <sz val="11"/>
      <color theme="1"/>
      <name val="Segoe UI"/>
      <family val="2"/>
    </font>
    <font>
      <sz val="12"/>
      <color theme="1"/>
      <name val="Calibri"/>
      <family val="2"/>
      <scheme val="minor"/>
    </font>
    <font>
      <b/>
      <sz val="12"/>
      <color theme="1"/>
      <name val="Calibri"/>
      <family val="2"/>
      <scheme val="minor"/>
    </font>
    <font>
      <b/>
      <sz val="12"/>
      <color theme="1"/>
      <name val="Segoe UI"/>
      <family val="2"/>
    </font>
    <font>
      <sz val="12"/>
      <color theme="1"/>
      <name val="Segoe UI"/>
      <family val="2"/>
    </font>
  </fonts>
  <fills count="6">
    <fill>
      <patternFill patternType="none"/>
    </fill>
    <fill>
      <patternFill patternType="gray125"/>
    </fill>
    <fill>
      <patternFill patternType="solid">
        <fgColor theme="2"/>
        <bgColor indexed="64"/>
      </patternFill>
    </fill>
    <fill>
      <patternFill patternType="solid">
        <fgColor rgb="FFF5F5F5"/>
        <bgColor indexed="64"/>
      </patternFill>
    </fill>
    <fill>
      <patternFill patternType="solid">
        <fgColor rgb="FF92D050"/>
        <bgColor indexed="64"/>
      </patternFill>
    </fill>
    <fill>
      <patternFill patternType="solid">
        <fgColor theme="7"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0" fontId="1" fillId="0" borderId="0"/>
  </cellStyleXfs>
  <cellXfs count="41">
    <xf numFmtId="0" fontId="0" fillId="0" borderId="0" xfId="0"/>
    <xf numFmtId="0" fontId="0" fillId="0" borderId="1" xfId="0" applyBorder="1"/>
    <xf numFmtId="164" fontId="0" fillId="0" borderId="1" xfId="0" applyNumberFormat="1" applyBorder="1"/>
    <xf numFmtId="0" fontId="0" fillId="2" borderId="0" xfId="0" applyFill="1"/>
    <xf numFmtId="0" fontId="0" fillId="0" borderId="2" xfId="0" applyBorder="1"/>
    <xf numFmtId="0" fontId="0" fillId="0" borderId="3" xfId="0" applyBorder="1"/>
    <xf numFmtId="0" fontId="0" fillId="0" borderId="3" xfId="0" applyBorder="1" applyAlignment="1">
      <alignment horizontal="left" vertical="center"/>
    </xf>
    <xf numFmtId="0" fontId="0" fillId="0" borderId="4" xfId="0" applyBorder="1"/>
    <xf numFmtId="0" fontId="0" fillId="0" borderId="0" xfId="0" applyAlignment="1">
      <alignment horizontal="left" vertical="center"/>
    </xf>
    <xf numFmtId="0" fontId="0" fillId="0" borderId="5" xfId="0" applyBorder="1"/>
    <xf numFmtId="0" fontId="0" fillId="0" borderId="6" xfId="0" applyBorder="1"/>
    <xf numFmtId="0" fontId="0" fillId="0" borderId="6" xfId="0" applyBorder="1" applyAlignment="1">
      <alignment horizontal="left" vertical="center"/>
    </xf>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indent="1"/>
    </xf>
    <xf numFmtId="0" fontId="4" fillId="3" borderId="7" xfId="0" applyFont="1" applyFill="1" applyBorder="1" applyAlignment="1">
      <alignment horizontal="center" vertical="center" wrapText="1"/>
    </xf>
    <xf numFmtId="0" fontId="3" fillId="0" borderId="7" xfId="0" applyFont="1" applyBorder="1" applyAlignment="1">
      <alignment vertical="center" wrapText="1"/>
    </xf>
    <xf numFmtId="0" fontId="7" fillId="0" borderId="0" xfId="0" applyFont="1" applyAlignment="1">
      <alignment vertical="center"/>
    </xf>
    <xf numFmtId="0" fontId="8" fillId="0" borderId="0" xfId="0" applyFont="1" applyAlignment="1">
      <alignment vertical="center"/>
    </xf>
    <xf numFmtId="0" fontId="5" fillId="0" borderId="0" xfId="0" applyFont="1" applyAlignment="1">
      <alignment vertical="center"/>
    </xf>
    <xf numFmtId="0" fontId="0" fillId="4" borderId="2" xfId="0" applyFill="1" applyBorder="1"/>
    <xf numFmtId="0" fontId="0" fillId="4" borderId="3" xfId="0" applyFill="1" applyBorder="1" applyAlignment="1">
      <alignment horizontal="left" vertical="center"/>
    </xf>
    <xf numFmtId="0" fontId="0" fillId="4" borderId="3" xfId="0" applyFill="1" applyBorder="1"/>
    <xf numFmtId="0" fontId="0" fillId="4" borderId="0" xfId="0" applyFill="1"/>
    <xf numFmtId="0" fontId="0" fillId="4" borderId="4" xfId="0" applyFill="1" applyBorder="1"/>
    <xf numFmtId="0" fontId="0" fillId="4" borderId="0" xfId="0" applyFill="1" applyAlignment="1">
      <alignment horizontal="left" vertical="center"/>
    </xf>
    <xf numFmtId="0" fontId="0" fillId="5" borderId="4" xfId="0" applyFill="1" applyBorder="1"/>
    <xf numFmtId="0" fontId="0" fillId="5" borderId="0" xfId="0" applyFill="1" applyAlignment="1">
      <alignment horizontal="left" vertical="center"/>
    </xf>
    <xf numFmtId="0" fontId="0" fillId="5" borderId="0" xfId="0" applyFill="1"/>
    <xf numFmtId="0" fontId="0" fillId="5" borderId="5" xfId="0" applyFill="1" applyBorder="1"/>
    <xf numFmtId="0" fontId="0" fillId="5" borderId="6" xfId="0" applyFill="1" applyBorder="1" applyAlignment="1">
      <alignment horizontal="left" vertical="center"/>
    </xf>
    <xf numFmtId="0" fontId="0" fillId="5" borderId="6" xfId="0" applyFill="1" applyBorder="1"/>
    <xf numFmtId="0" fontId="0" fillId="5" borderId="2" xfId="0" applyFill="1" applyBorder="1"/>
    <xf numFmtId="0" fontId="0" fillId="5" borderId="3" xfId="0" applyFill="1" applyBorder="1" applyAlignment="1">
      <alignment horizontal="left" vertical="center"/>
    </xf>
    <xf numFmtId="0" fontId="0" fillId="5" borderId="3" xfId="0" applyFill="1" applyBorder="1"/>
    <xf numFmtId="0" fontId="0" fillId="2" borderId="0" xfId="0" applyFill="1" applyAlignment="1">
      <alignment horizontal="center"/>
    </xf>
    <xf numFmtId="0" fontId="0" fillId="0" borderId="0" xfId="0" applyAlignment="1">
      <alignment horizontal="center"/>
    </xf>
    <xf numFmtId="0" fontId="0" fillId="5" borderId="0" xfId="0" applyFill="1" applyAlignment="1">
      <alignment horizontal="center"/>
    </xf>
    <xf numFmtId="0" fontId="0" fillId="4" borderId="0" xfId="0" applyFill="1" applyAlignment="1">
      <alignment horizontal="center"/>
    </xf>
  </cellXfs>
  <cellStyles count="2">
    <cellStyle name="Normal" xfId="0" builtinId="0"/>
    <cellStyle name="Standard 2" xfId="1" xr:uid="{7C0EE6E9-75EF-48B9-9629-DB51D46FB4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6"/>
  <sheetViews>
    <sheetView tabSelected="1" workbookViewId="0">
      <selection activeCell="A30" activeCellId="1" sqref="A27:XFD27 A30:XFD30"/>
    </sheetView>
  </sheetViews>
  <sheetFormatPr defaultColWidth="8.7265625" defaultRowHeight="14.5" x14ac:dyDescent="0.35"/>
  <cols>
    <col min="2" max="2" width="10.26953125" bestFit="1" customWidth="1"/>
    <col min="3" max="3" width="15.26953125" bestFit="1" customWidth="1"/>
    <col min="4" max="4" width="15.08984375" bestFit="1" customWidth="1"/>
    <col min="5" max="8" width="14.90625" bestFit="1" customWidth="1"/>
  </cols>
  <sheetData>
    <row r="2" spans="2:9" x14ac:dyDescent="0.35">
      <c r="B2" s="1" t="s">
        <v>41</v>
      </c>
      <c r="C2" s="1" t="s">
        <v>0</v>
      </c>
      <c r="D2" s="1" t="s">
        <v>1</v>
      </c>
      <c r="E2" s="1" t="s">
        <v>2</v>
      </c>
      <c r="F2" s="1" t="s">
        <v>3</v>
      </c>
      <c r="G2" s="1" t="s">
        <v>4</v>
      </c>
      <c r="H2" s="1" t="s">
        <v>5</v>
      </c>
      <c r="I2" s="1" t="s">
        <v>40</v>
      </c>
    </row>
    <row r="3" spans="2:9" x14ac:dyDescent="0.35">
      <c r="B3" s="1" t="s">
        <v>6</v>
      </c>
      <c r="C3" s="1">
        <v>0</v>
      </c>
      <c r="D3" s="1">
        <v>0</v>
      </c>
      <c r="E3" s="1">
        <v>0</v>
      </c>
      <c r="F3" s="1">
        <v>0</v>
      </c>
      <c r="G3" s="1">
        <v>0</v>
      </c>
      <c r="H3" s="1">
        <v>0</v>
      </c>
      <c r="I3" s="1"/>
    </row>
    <row r="4" spans="2:9" x14ac:dyDescent="0.35">
      <c r="B4" s="1" t="s">
        <v>7</v>
      </c>
      <c r="C4" s="2">
        <v>2.9755555555555588</v>
      </c>
      <c r="D4" s="2">
        <v>1.0977777777777717</v>
      </c>
      <c r="E4" s="2">
        <v>2.2833333333333385</v>
      </c>
      <c r="F4" s="2">
        <v>4.0899999999999963</v>
      </c>
      <c r="G4" s="2">
        <v>3.7488888888888852</v>
      </c>
      <c r="H4" s="2">
        <v>2.6811111111111146</v>
      </c>
      <c r="I4" s="2">
        <f>SUM(C4:H4)</f>
        <v>16.876666666666665</v>
      </c>
    </row>
    <row r="5" spans="2:9" x14ac:dyDescent="0.35">
      <c r="B5" s="1" t="s">
        <v>8</v>
      </c>
      <c r="C5" s="2">
        <v>-0.5469444444444278</v>
      </c>
      <c r="D5" s="2">
        <v>-1.8244444444444454</v>
      </c>
      <c r="E5" s="2">
        <v>-0.74444444444444002</v>
      </c>
      <c r="F5" s="2">
        <v>-0.53333333333333854</v>
      </c>
      <c r="G5" s="2">
        <v>-1.4855555555555497</v>
      </c>
      <c r="H5" s="2">
        <v>-0.12666666666666515</v>
      </c>
      <c r="I5" s="2">
        <f>SUM(C5:H5)</f>
        <v>-5.2613888888888667</v>
      </c>
    </row>
    <row r="6" spans="2:9" x14ac:dyDescent="0.35">
      <c r="B6" s="1" t="s">
        <v>9</v>
      </c>
      <c r="C6" s="2">
        <v>1.9211111111111236</v>
      </c>
      <c r="D6" s="2">
        <v>0.42777777777776294</v>
      </c>
      <c r="E6" s="2">
        <v>1.4500000000000028</v>
      </c>
      <c r="F6" s="2">
        <v>4.5166666666666586</v>
      </c>
      <c r="G6" s="2">
        <v>0.49888888888888516</v>
      </c>
      <c r="H6" s="2">
        <v>4.647777777777776</v>
      </c>
      <c r="I6" s="2">
        <f t="shared" ref="I6:I36" si="0">SUM(C6:H6)</f>
        <v>13.462222222222209</v>
      </c>
    </row>
    <row r="7" spans="2:9" x14ac:dyDescent="0.35">
      <c r="B7" s="1" t="s">
        <v>10</v>
      </c>
      <c r="C7" s="2">
        <v>-2.601111111111102</v>
      </c>
      <c r="D7" s="2">
        <v>-0.87000000000000455</v>
      </c>
      <c r="E7" s="2">
        <v>-0.99444444444444002</v>
      </c>
      <c r="F7" s="2">
        <v>-0.36555555555556651</v>
      </c>
      <c r="G7" s="2">
        <v>-1.035555555555554</v>
      </c>
      <c r="H7" s="2">
        <v>-0.474444444444444</v>
      </c>
      <c r="I7" s="2">
        <f t="shared" si="0"/>
        <v>-6.3411111111111111</v>
      </c>
    </row>
    <row r="8" spans="2:9" x14ac:dyDescent="0.35">
      <c r="B8" s="1" t="s">
        <v>11</v>
      </c>
      <c r="C8" s="2">
        <v>-2.5511111111111049</v>
      </c>
      <c r="D8" s="2">
        <v>-0.87000000000000455</v>
      </c>
      <c r="E8" s="2">
        <v>-0.8077777777777726</v>
      </c>
      <c r="F8" s="2">
        <v>-0.94555555555556481</v>
      </c>
      <c r="G8" s="2">
        <v>-0.65888888888888886</v>
      </c>
      <c r="H8" s="2">
        <v>-0.87444444444443548</v>
      </c>
      <c r="I8" s="2">
        <f t="shared" si="0"/>
        <v>-6.7077777777777712</v>
      </c>
    </row>
    <row r="9" spans="2:9" x14ac:dyDescent="0.35">
      <c r="B9" s="1" t="s">
        <v>12</v>
      </c>
      <c r="C9" s="2">
        <v>-2.0977777777777717</v>
      </c>
      <c r="D9" s="2">
        <v>-1.6583333333333385</v>
      </c>
      <c r="E9" s="2">
        <v>0.99888888888888516</v>
      </c>
      <c r="F9" s="2">
        <v>0.85444444444443235</v>
      </c>
      <c r="G9" s="2">
        <v>-0.53888888888889142</v>
      </c>
      <c r="H9" s="2">
        <v>1.4455555555555577</v>
      </c>
      <c r="I9" s="2">
        <f t="shared" si="0"/>
        <v>-0.99611111111112649</v>
      </c>
    </row>
    <row r="10" spans="2:9" x14ac:dyDescent="0.35">
      <c r="B10" s="1" t="s">
        <v>13</v>
      </c>
      <c r="C10" s="2">
        <v>-2.2611111111110986</v>
      </c>
      <c r="D10" s="2">
        <v>-0.98000000000000398</v>
      </c>
      <c r="E10" s="2">
        <v>0.12222222222222001</v>
      </c>
      <c r="F10" s="2">
        <v>0.46777777777776919</v>
      </c>
      <c r="G10" s="2">
        <v>-0.79888888888888232</v>
      </c>
      <c r="H10" s="2">
        <v>0.775555555555556</v>
      </c>
      <c r="I10" s="2">
        <f t="shared" si="0"/>
        <v>-2.6744444444444397</v>
      </c>
    </row>
    <row r="11" spans="2:9" x14ac:dyDescent="0.35">
      <c r="B11" s="1" t="s">
        <v>14</v>
      </c>
      <c r="C11" s="2">
        <v>-1.7377777777777723</v>
      </c>
      <c r="D11" s="2">
        <v>-1.8766666666666652</v>
      </c>
      <c r="E11" s="2">
        <v>-0.13444444444444059</v>
      </c>
      <c r="F11" s="2">
        <v>0.13111111111110318</v>
      </c>
      <c r="G11" s="2">
        <v>-0.58888888888888857</v>
      </c>
      <c r="H11" s="2">
        <v>-4.1111111111106879E-2</v>
      </c>
      <c r="I11" s="2">
        <f t="shared" si="0"/>
        <v>-4.2477777777777703</v>
      </c>
    </row>
    <row r="12" spans="2:9" x14ac:dyDescent="0.35">
      <c r="B12" s="1" t="s">
        <v>15</v>
      </c>
      <c r="C12" s="2">
        <v>-1.5511111111111049</v>
      </c>
      <c r="D12" s="2">
        <v>0.28999999999999915</v>
      </c>
      <c r="E12" s="2">
        <v>0.15222222222222115</v>
      </c>
      <c r="F12" s="2">
        <v>-7.2222222222229959E-2</v>
      </c>
      <c r="G12" s="2">
        <v>-1.1522222222222211</v>
      </c>
      <c r="H12" s="2">
        <v>0.53888888888889142</v>
      </c>
      <c r="I12" s="2">
        <f t="shared" si="0"/>
        <v>-1.7944444444444443</v>
      </c>
    </row>
    <row r="13" spans="2:9" x14ac:dyDescent="0.35">
      <c r="B13" s="1" t="s">
        <v>16</v>
      </c>
      <c r="C13" s="2">
        <v>-0.83444444444443633</v>
      </c>
      <c r="D13" s="2">
        <v>-0.3333333333333357</v>
      </c>
      <c r="E13" s="2">
        <v>2.4255555555555546</v>
      </c>
      <c r="F13" s="2">
        <v>2.2911111111110998</v>
      </c>
      <c r="G13" s="2">
        <v>0.26777777777778056</v>
      </c>
      <c r="H13" s="2">
        <v>1.6922222222222274</v>
      </c>
      <c r="I13" s="2">
        <f t="shared" si="0"/>
        <v>5.5088888888888903</v>
      </c>
    </row>
    <row r="14" spans="2:9" x14ac:dyDescent="0.35">
      <c r="B14" s="1" t="s">
        <v>17</v>
      </c>
      <c r="C14" s="2">
        <v>-4.1877777777777681</v>
      </c>
      <c r="D14" s="2">
        <v>-0.45666666666667055</v>
      </c>
      <c r="E14" s="2">
        <v>1.3988888888888908</v>
      </c>
      <c r="F14" s="2">
        <v>3.1111111111101764E-2</v>
      </c>
      <c r="G14" s="2">
        <v>-1.8788888888888877</v>
      </c>
      <c r="H14" s="2">
        <v>-0.5544444444444423</v>
      </c>
      <c r="I14" s="2">
        <f t="shared" si="0"/>
        <v>-5.647777777777776</v>
      </c>
    </row>
    <row r="15" spans="2:9" x14ac:dyDescent="0.35">
      <c r="B15" s="1" t="s">
        <v>18</v>
      </c>
      <c r="C15" s="2">
        <v>-1.9244444444444397</v>
      </c>
      <c r="D15" s="2">
        <v>-1.3233333333333377</v>
      </c>
      <c r="E15" s="2">
        <v>1.2888888888888914</v>
      </c>
      <c r="F15" s="2">
        <v>0.30111111111110489</v>
      </c>
      <c r="G15" s="2">
        <v>0.32777777777778283</v>
      </c>
      <c r="H15" s="2">
        <v>-1.2711111111111109</v>
      </c>
      <c r="I15" s="2">
        <f t="shared" si="0"/>
        <v>-2.6011111111111092</v>
      </c>
    </row>
    <row r="16" spans="2:9" x14ac:dyDescent="0.35">
      <c r="B16" s="1" t="s">
        <v>19</v>
      </c>
      <c r="C16" s="2">
        <v>-0.46444444444443178</v>
      </c>
      <c r="D16" s="2">
        <v>-0.43666666666666742</v>
      </c>
      <c r="E16" s="2">
        <v>3.4888888888888872</v>
      </c>
      <c r="F16" s="2">
        <v>1.5244444444444412</v>
      </c>
      <c r="G16" s="2">
        <v>-0.56222222222222484</v>
      </c>
      <c r="H16" s="2">
        <v>2.6488888888888908</v>
      </c>
      <c r="I16" s="2">
        <f t="shared" si="0"/>
        <v>6.1988888888888951</v>
      </c>
    </row>
    <row r="17" spans="2:9" x14ac:dyDescent="0.35">
      <c r="B17" s="1" t="s">
        <v>20</v>
      </c>
      <c r="C17" s="2">
        <v>-0.13444444444442638</v>
      </c>
      <c r="D17" s="2">
        <v>-0.23000000000000398</v>
      </c>
      <c r="E17" s="2">
        <v>2.7322222222222194</v>
      </c>
      <c r="F17" s="2">
        <v>1.3211111111111009</v>
      </c>
      <c r="G17" s="2">
        <v>1.5877777777777737</v>
      </c>
      <c r="H17" s="2">
        <v>-0.27444444444444116</v>
      </c>
      <c r="I17" s="2">
        <f t="shared" si="0"/>
        <v>5.0022222222222226</v>
      </c>
    </row>
    <row r="18" spans="2:9" x14ac:dyDescent="0.35">
      <c r="B18" s="1" t="s">
        <v>21</v>
      </c>
      <c r="C18" s="2">
        <v>-1.7111111111111015</v>
      </c>
      <c r="D18" s="2">
        <v>-0.93666666666666742</v>
      </c>
      <c r="E18" s="2">
        <v>2.7988888888888894</v>
      </c>
      <c r="F18" s="2">
        <v>1.3944444444444386</v>
      </c>
      <c r="G18" s="2">
        <v>1.3177777777777706</v>
      </c>
      <c r="H18" s="2">
        <v>1.8455555555555634</v>
      </c>
      <c r="I18" s="2">
        <f t="shared" si="0"/>
        <v>4.7088888888888931</v>
      </c>
    </row>
    <row r="19" spans="2:9" x14ac:dyDescent="0.35">
      <c r="B19" s="1" t="s">
        <v>22</v>
      </c>
      <c r="C19" s="2">
        <v>-0.13111111111109608</v>
      </c>
      <c r="D19" s="2">
        <v>-0.77666666666667084</v>
      </c>
      <c r="E19" s="2">
        <v>-0.17777777777777004</v>
      </c>
      <c r="F19" s="2">
        <v>0.50444444444443803</v>
      </c>
      <c r="G19" s="2">
        <v>-0.84888888888889369</v>
      </c>
      <c r="H19" s="2">
        <v>1.1722222222222243</v>
      </c>
      <c r="I19" s="2">
        <f t="shared" si="0"/>
        <v>-0.25777777777776834</v>
      </c>
    </row>
    <row r="20" spans="2:9" x14ac:dyDescent="0.35">
      <c r="B20" s="1" t="s">
        <v>23</v>
      </c>
      <c r="C20" s="2">
        <v>1.1555555555555657</v>
      </c>
      <c r="D20" s="2">
        <v>-0.77666666666667084</v>
      </c>
      <c r="E20" s="2">
        <v>-1.444444444444315E-2</v>
      </c>
      <c r="F20" s="2">
        <v>-0.58555555555556538</v>
      </c>
      <c r="G20" s="2">
        <v>-1.3888888888888857</v>
      </c>
      <c r="H20" s="2">
        <v>0.9355555555555668</v>
      </c>
      <c r="I20" s="2">
        <f t="shared" si="0"/>
        <v>-0.67444444444443263</v>
      </c>
    </row>
    <row r="21" spans="2:9" x14ac:dyDescent="0.35">
      <c r="B21" s="1" t="s">
        <v>24</v>
      </c>
      <c r="C21" s="2">
        <v>0.14888888888889795</v>
      </c>
      <c r="D21" s="2">
        <v>-1.2633333333333354</v>
      </c>
      <c r="E21" s="2">
        <v>-0.974444444444444</v>
      </c>
      <c r="F21" s="2">
        <v>-3.5555555555561114E-2</v>
      </c>
      <c r="G21" s="2">
        <v>-1.9055555555555586</v>
      </c>
      <c r="H21" s="2">
        <v>0.55555555555555003</v>
      </c>
      <c r="I21" s="2">
        <f t="shared" si="0"/>
        <v>-3.4744444444444511</v>
      </c>
    </row>
    <row r="22" spans="2:9" x14ac:dyDescent="0.35">
      <c r="B22" s="1" t="s">
        <v>25</v>
      </c>
      <c r="C22" s="2">
        <v>-0.88444444444443349</v>
      </c>
      <c r="D22" s="2">
        <v>-1.393333333333338</v>
      </c>
      <c r="E22" s="2">
        <v>0.65555555555555145</v>
      </c>
      <c r="F22" s="2">
        <v>-0.65888888888889596</v>
      </c>
      <c r="G22" s="2">
        <v>-2.0588888888888945</v>
      </c>
      <c r="H22" s="2">
        <v>-0.18111111111110745</v>
      </c>
      <c r="I22" s="2">
        <f t="shared" si="0"/>
        <v>-4.521111111111118</v>
      </c>
    </row>
    <row r="23" spans="2:9" x14ac:dyDescent="0.35">
      <c r="B23" s="1" t="s">
        <v>26</v>
      </c>
      <c r="C23" s="2">
        <v>0.25888888888889738</v>
      </c>
      <c r="D23" s="2">
        <v>-0.86333333333333684</v>
      </c>
      <c r="E23" s="2">
        <v>-1.1777777777777771</v>
      </c>
      <c r="F23" s="2">
        <v>-0.24888888888889227</v>
      </c>
      <c r="G23" s="2">
        <v>-1.7255555555555517</v>
      </c>
      <c r="H23" s="2">
        <v>2.2222222222225696E-2</v>
      </c>
      <c r="I23" s="2">
        <f t="shared" si="0"/>
        <v>-3.7344444444444349</v>
      </c>
    </row>
    <row r="24" spans="2:9" x14ac:dyDescent="0.35">
      <c r="B24" s="1" t="s">
        <v>27</v>
      </c>
      <c r="C24" s="2">
        <v>-0.61111111111109295</v>
      </c>
      <c r="D24" s="2">
        <v>-0.78333333333333144</v>
      </c>
      <c r="E24" s="2">
        <v>-0.12777777777777999</v>
      </c>
      <c r="F24" s="2">
        <v>-0.36222222222223621</v>
      </c>
      <c r="G24" s="2">
        <v>-1.1988888888888809</v>
      </c>
      <c r="H24" s="2">
        <v>0.67888888888888488</v>
      </c>
      <c r="I24" s="2">
        <f t="shared" si="0"/>
        <v>-2.4044444444444366</v>
      </c>
    </row>
    <row r="25" spans="2:9" x14ac:dyDescent="0.35">
      <c r="B25" s="1" t="s">
        <v>28</v>
      </c>
      <c r="C25" s="2">
        <v>-0.30111111111110489</v>
      </c>
      <c r="D25" s="2">
        <v>-0.95666666666667055</v>
      </c>
      <c r="E25" s="2">
        <v>-0.88111111111111029</v>
      </c>
      <c r="F25" s="2">
        <v>0.42444444444443974</v>
      </c>
      <c r="G25" s="2">
        <v>-0.64555555555556055</v>
      </c>
      <c r="H25" s="2">
        <v>0.3555555555555614</v>
      </c>
      <c r="I25" s="2">
        <f t="shared" si="0"/>
        <v>-2.0044444444444451</v>
      </c>
    </row>
    <row r="26" spans="2:9" x14ac:dyDescent="0.35">
      <c r="B26" s="1" t="s">
        <v>29</v>
      </c>
      <c r="C26" s="2">
        <v>-0.87444444444443548</v>
      </c>
      <c r="D26" s="2">
        <v>-1.2200000000000131</v>
      </c>
      <c r="E26" s="2">
        <v>0.29555555555555912</v>
      </c>
      <c r="F26" s="2">
        <v>5.4444444444435192E-2</v>
      </c>
      <c r="G26" s="2">
        <v>-1.3388888888888886</v>
      </c>
      <c r="H26" s="2">
        <v>-2.1711111111111094</v>
      </c>
      <c r="I26" s="2">
        <f t="shared" si="0"/>
        <v>-5.2544444444444522</v>
      </c>
    </row>
    <row r="27" spans="2:9" x14ac:dyDescent="0.35">
      <c r="B27" s="1" t="s">
        <v>30</v>
      </c>
      <c r="C27" s="2">
        <v>2.5655555555555623</v>
      </c>
      <c r="D27" s="2">
        <v>0.28333333333333144</v>
      </c>
      <c r="E27" s="2">
        <v>0.862222222222222</v>
      </c>
      <c r="F27" s="2">
        <v>3.2411111111111097</v>
      </c>
      <c r="G27" s="2">
        <v>0.96444444444444599</v>
      </c>
      <c r="H27" s="2">
        <v>2.5188888888888954</v>
      </c>
      <c r="I27" s="2">
        <f t="shared" si="0"/>
        <v>10.435555555555567</v>
      </c>
    </row>
    <row r="28" spans="2:9" x14ac:dyDescent="0.35">
      <c r="B28" s="1" t="s">
        <v>31</v>
      </c>
      <c r="C28" s="2">
        <v>0.87222222222223422</v>
      </c>
      <c r="D28" s="2">
        <v>-1.6166666666666671</v>
      </c>
      <c r="E28" s="2">
        <v>-0.20777777777777828</v>
      </c>
      <c r="F28" s="2">
        <v>0.39777777777777601</v>
      </c>
      <c r="G28" s="2">
        <v>-0.84222222222222598</v>
      </c>
      <c r="H28" s="2">
        <v>0.39222222222222314</v>
      </c>
      <c r="I28" s="2">
        <f t="shared" si="0"/>
        <v>-1.004444444444438</v>
      </c>
    </row>
    <row r="29" spans="2:9" x14ac:dyDescent="0.35">
      <c r="B29" s="1" t="s">
        <v>32</v>
      </c>
      <c r="C29" s="2">
        <v>1.6322222222222251</v>
      </c>
      <c r="D29" s="2">
        <v>-0.42999999999999972</v>
      </c>
      <c r="E29" s="2">
        <v>-0.40111111111110631</v>
      </c>
      <c r="F29" s="2">
        <v>1.8477777777777646</v>
      </c>
      <c r="G29" s="2">
        <v>0.43111111111111455</v>
      </c>
      <c r="H29" s="2">
        <v>1.2355555555555569</v>
      </c>
      <c r="I29" s="2">
        <f t="shared" si="0"/>
        <v>4.3155555555555551</v>
      </c>
    </row>
    <row r="30" spans="2:9" x14ac:dyDescent="0.35">
      <c r="B30" s="1" t="s">
        <v>33</v>
      </c>
      <c r="C30" s="2">
        <v>2.2422222222222317</v>
      </c>
      <c r="D30" s="2">
        <v>-0.82333333333333769</v>
      </c>
      <c r="E30" s="2">
        <v>2.5322222222222308</v>
      </c>
      <c r="F30" s="2">
        <v>1.234444444444442</v>
      </c>
      <c r="G30" s="2">
        <v>1.0877777777777808</v>
      </c>
      <c r="H30" s="2">
        <v>2.07222222222223</v>
      </c>
      <c r="I30" s="2">
        <f t="shared" si="0"/>
        <v>8.3455555555555776</v>
      </c>
    </row>
    <row r="31" spans="2:9" x14ac:dyDescent="0.35">
      <c r="B31" s="1" t="s">
        <v>34</v>
      </c>
      <c r="C31" s="2">
        <v>-0.40444444444443661</v>
      </c>
      <c r="D31" s="2">
        <v>-1.8200000000000074</v>
      </c>
      <c r="E31" s="2">
        <v>-0.45111111111111057</v>
      </c>
      <c r="F31" s="2">
        <v>-1.7855555555555611</v>
      </c>
      <c r="G31" s="2">
        <v>-3.4655555555555537</v>
      </c>
      <c r="H31" s="2">
        <v>-1.397777777777776</v>
      </c>
      <c r="I31" s="2">
        <f t="shared" si="0"/>
        <v>-9.3244444444444454</v>
      </c>
    </row>
    <row r="32" spans="2:9" x14ac:dyDescent="0.35">
      <c r="B32" s="1" t="s">
        <v>35</v>
      </c>
      <c r="C32" s="2">
        <v>-1.6811111111111074</v>
      </c>
      <c r="D32" s="2">
        <v>-1.8200000000000074</v>
      </c>
      <c r="E32" s="2">
        <v>-0.67777777777777715</v>
      </c>
      <c r="F32" s="2">
        <v>-1.9655555555555608</v>
      </c>
      <c r="G32" s="2">
        <v>-3.4155555555555566</v>
      </c>
      <c r="H32" s="2">
        <v>-0.26111111111111285</v>
      </c>
      <c r="I32" s="2">
        <f t="shared" si="0"/>
        <v>-9.8211111111111222</v>
      </c>
    </row>
    <row r="33" spans="2:9" x14ac:dyDescent="0.35">
      <c r="B33" s="1" t="s">
        <v>36</v>
      </c>
      <c r="C33" s="2">
        <v>-1.5111111111110986</v>
      </c>
      <c r="D33" s="2">
        <v>-1.4858333333333391</v>
      </c>
      <c r="E33" s="2">
        <v>-0.75111111111111484</v>
      </c>
      <c r="F33" s="2">
        <v>-1.4488888888888951</v>
      </c>
      <c r="G33" s="2">
        <v>-2.9422222222222203</v>
      </c>
      <c r="H33" s="2">
        <v>-1.6144444444444375</v>
      </c>
      <c r="I33" s="2">
        <f t="shared" si="0"/>
        <v>-9.7536111111111055</v>
      </c>
    </row>
    <row r="34" spans="2:9" x14ac:dyDescent="0.35">
      <c r="B34" s="1" t="s">
        <v>37</v>
      </c>
      <c r="C34" s="2">
        <v>-1.5544444444444352</v>
      </c>
      <c r="D34" s="2">
        <v>-2.3866666666666703</v>
      </c>
      <c r="E34" s="2">
        <v>-0.47111111111109949</v>
      </c>
      <c r="F34" s="2">
        <v>-1.2688888888888883</v>
      </c>
      <c r="G34" s="2">
        <v>-2.5422222222222217</v>
      </c>
      <c r="H34" s="2">
        <v>-0.75111111111110773</v>
      </c>
      <c r="I34" s="2">
        <f t="shared" si="0"/>
        <v>-8.9744444444444227</v>
      </c>
    </row>
    <row r="35" spans="2:9" x14ac:dyDescent="0.35">
      <c r="B35" s="1" t="s">
        <v>38</v>
      </c>
      <c r="C35" s="2">
        <v>-1.5844444444444363</v>
      </c>
      <c r="D35" s="2">
        <v>-1.296666666666674</v>
      </c>
      <c r="E35" s="2">
        <v>-0.28111111111110176</v>
      </c>
      <c r="F35" s="2">
        <v>-1.3122222222222319</v>
      </c>
      <c r="G35" s="2">
        <v>-2.745555555555562</v>
      </c>
      <c r="H35" s="2">
        <v>-1.0944444444444414</v>
      </c>
      <c r="I35" s="2">
        <f t="shared" si="0"/>
        <v>-8.3144444444444474</v>
      </c>
    </row>
    <row r="36" spans="2:9" x14ac:dyDescent="0.35">
      <c r="B36" s="1" t="s">
        <v>39</v>
      </c>
      <c r="C36" s="2">
        <v>-2.841111111111104</v>
      </c>
      <c r="D36" s="2">
        <v>-2.4233333333333391</v>
      </c>
      <c r="E36" s="2">
        <v>0.13888888888889284</v>
      </c>
      <c r="F36" s="2">
        <v>-1.4355555555555597</v>
      </c>
      <c r="G36" s="2">
        <v>-3.2788888888888934</v>
      </c>
      <c r="H36" s="2">
        <v>-0.62777777777777999</v>
      </c>
      <c r="I36" s="2">
        <f t="shared" si="0"/>
        <v>-10.467777777777783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6702F-633F-4F43-8569-21DCEB6ED63C}">
  <dimension ref="B2:C47"/>
  <sheetViews>
    <sheetView topLeftCell="A37" workbookViewId="0">
      <selection activeCell="I6" sqref="I6"/>
    </sheetView>
  </sheetViews>
  <sheetFormatPr defaultColWidth="10.90625" defaultRowHeight="14.5" x14ac:dyDescent="0.35"/>
  <cols>
    <col min="2" max="2" width="32.26953125" customWidth="1"/>
  </cols>
  <sheetData>
    <row r="2" spans="2:2" ht="16.5" x14ac:dyDescent="0.35">
      <c r="B2" s="14" t="s">
        <v>81</v>
      </c>
    </row>
    <row r="3" spans="2:2" x14ac:dyDescent="0.35">
      <c r="B3" s="12"/>
    </row>
    <row r="4" spans="2:2" ht="16.5" x14ac:dyDescent="0.35">
      <c r="B4" s="15" t="s">
        <v>82</v>
      </c>
    </row>
    <row r="5" spans="2:2" ht="16.5" x14ac:dyDescent="0.35">
      <c r="B5" s="15"/>
    </row>
    <row r="6" spans="2:2" ht="16.5" x14ac:dyDescent="0.35">
      <c r="B6" s="16" t="s">
        <v>88</v>
      </c>
    </row>
    <row r="7" spans="2:2" ht="16.5" x14ac:dyDescent="0.35">
      <c r="B7" s="16" t="s">
        <v>83</v>
      </c>
    </row>
    <row r="8" spans="2:2" ht="16.5" x14ac:dyDescent="0.35">
      <c r="B8" s="16" t="s">
        <v>84</v>
      </c>
    </row>
    <row r="9" spans="2:2" ht="16.5" x14ac:dyDescent="0.35">
      <c r="B9" s="16" t="s">
        <v>89</v>
      </c>
    </row>
    <row r="10" spans="2:2" ht="16.5" x14ac:dyDescent="0.35">
      <c r="B10" s="16" t="s">
        <v>85</v>
      </c>
    </row>
    <row r="11" spans="2:2" ht="16.5" x14ac:dyDescent="0.35">
      <c r="B11" s="16" t="s">
        <v>86</v>
      </c>
    </row>
    <row r="12" spans="2:2" x14ac:dyDescent="0.35">
      <c r="B12" s="12"/>
    </row>
    <row r="13" spans="2:2" ht="16.5" x14ac:dyDescent="0.35">
      <c r="B13" s="14" t="s">
        <v>87</v>
      </c>
    </row>
    <row r="14" spans="2:2" ht="16.5" x14ac:dyDescent="0.35">
      <c r="B14" s="16" t="s">
        <v>90</v>
      </c>
    </row>
    <row r="17" spans="2:3" ht="17.5" x14ac:dyDescent="0.35">
      <c r="B17" s="19" t="s">
        <v>91</v>
      </c>
    </row>
    <row r="18" spans="2:3" ht="15" thickBot="1" x14ac:dyDescent="0.4">
      <c r="B18" s="13"/>
    </row>
    <row r="19" spans="2:3" ht="17" thickBot="1" x14ac:dyDescent="0.4">
      <c r="B19" s="17" t="s">
        <v>92</v>
      </c>
      <c r="C19" s="17" t="s">
        <v>93</v>
      </c>
    </row>
    <row r="20" spans="2:3" ht="17" thickBot="1" x14ac:dyDescent="0.4">
      <c r="B20" s="18" t="s">
        <v>94</v>
      </c>
      <c r="C20" s="18">
        <v>22</v>
      </c>
    </row>
    <row r="21" spans="2:3" ht="17" thickBot="1" x14ac:dyDescent="0.4">
      <c r="B21" s="18" t="s">
        <v>95</v>
      </c>
      <c r="C21" s="18">
        <v>7</v>
      </c>
    </row>
    <row r="22" spans="2:3" ht="33.5" thickBot="1" x14ac:dyDescent="0.4">
      <c r="B22" s="18" t="s">
        <v>96</v>
      </c>
      <c r="C22" s="18">
        <v>20</v>
      </c>
    </row>
    <row r="23" spans="2:3" ht="17" thickBot="1" x14ac:dyDescent="0.4">
      <c r="B23" s="18" t="s">
        <v>97</v>
      </c>
      <c r="C23" s="18">
        <v>5</v>
      </c>
    </row>
    <row r="24" spans="2:3" ht="17" thickBot="1" x14ac:dyDescent="0.4">
      <c r="B24" s="18" t="s">
        <v>98</v>
      </c>
      <c r="C24" s="18">
        <v>4</v>
      </c>
    </row>
    <row r="25" spans="2:3" ht="17" thickBot="1" x14ac:dyDescent="0.4">
      <c r="B25" s="18" t="s">
        <v>99</v>
      </c>
      <c r="C25" s="18">
        <v>10</v>
      </c>
    </row>
    <row r="26" spans="2:3" ht="17" thickBot="1" x14ac:dyDescent="0.4">
      <c r="B26" s="18" t="s">
        <v>100</v>
      </c>
      <c r="C26" s="18">
        <v>6</v>
      </c>
    </row>
    <row r="27" spans="2:3" ht="17" thickBot="1" x14ac:dyDescent="0.4">
      <c r="B27" s="18" t="s">
        <v>101</v>
      </c>
      <c r="C27" s="18">
        <v>1</v>
      </c>
    </row>
    <row r="28" spans="2:3" ht="17" thickBot="1" x14ac:dyDescent="0.4">
      <c r="B28" s="18" t="s">
        <v>102</v>
      </c>
      <c r="C28" s="18">
        <v>2</v>
      </c>
    </row>
    <row r="29" spans="2:3" ht="17" thickBot="1" x14ac:dyDescent="0.4">
      <c r="B29" s="18" t="s">
        <v>103</v>
      </c>
      <c r="C29" s="18">
        <v>5</v>
      </c>
    </row>
    <row r="30" spans="2:3" ht="17" thickBot="1" x14ac:dyDescent="0.4">
      <c r="B30" s="18" t="s">
        <v>104</v>
      </c>
      <c r="C30" s="18" t="s">
        <v>105</v>
      </c>
    </row>
    <row r="31" spans="2:3" x14ac:dyDescent="0.35">
      <c r="B31" s="12"/>
    </row>
    <row r="32" spans="2:3" ht="17.5" x14ac:dyDescent="0.35">
      <c r="B32" s="20" t="s">
        <v>106</v>
      </c>
    </row>
    <row r="35" spans="2:2" ht="17.5" x14ac:dyDescent="0.35">
      <c r="B35" s="19" t="s">
        <v>107</v>
      </c>
    </row>
    <row r="36" spans="2:2" ht="15.5" x14ac:dyDescent="0.35">
      <c r="B36" s="21"/>
    </row>
    <row r="37" spans="2:2" ht="17.5" x14ac:dyDescent="0.35">
      <c r="B37" s="20" t="s">
        <v>108</v>
      </c>
    </row>
    <row r="38" spans="2:2" ht="15.5" x14ac:dyDescent="0.35">
      <c r="B38" s="21"/>
    </row>
    <row r="39" spans="2:2" ht="17.5" x14ac:dyDescent="0.35">
      <c r="B39" s="20" t="s">
        <v>109</v>
      </c>
    </row>
    <row r="40" spans="2:2" ht="15.5" x14ac:dyDescent="0.35">
      <c r="B40" s="21"/>
    </row>
    <row r="41" spans="2:2" ht="17.5" x14ac:dyDescent="0.35">
      <c r="B41" s="20" t="s">
        <v>110</v>
      </c>
    </row>
    <row r="42" spans="2:2" ht="15.5" x14ac:dyDescent="0.35">
      <c r="B42" s="21"/>
    </row>
    <row r="43" spans="2:2" ht="17.5" x14ac:dyDescent="0.35">
      <c r="B43" s="20" t="s">
        <v>111</v>
      </c>
    </row>
    <row r="44" spans="2:2" ht="15.5" x14ac:dyDescent="0.35">
      <c r="B44" s="21"/>
    </row>
    <row r="45" spans="2:2" ht="17.5" x14ac:dyDescent="0.35">
      <c r="B45" s="20" t="s">
        <v>112</v>
      </c>
    </row>
    <row r="47" spans="2:2" ht="17.5" x14ac:dyDescent="0.35">
      <c r="B47" s="20" t="s">
        <v>113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F368-C2AE-498D-AF4D-504E973D6191}">
  <dimension ref="A1:D31"/>
  <sheetViews>
    <sheetView topLeftCell="A15" workbookViewId="0">
      <selection activeCell="C27" sqref="C27"/>
    </sheetView>
  </sheetViews>
  <sheetFormatPr defaultColWidth="10.90625" defaultRowHeight="14.5" x14ac:dyDescent="0.35"/>
  <cols>
    <col min="1" max="1" width="25" bestFit="1" customWidth="1"/>
    <col min="3" max="3" width="20.36328125" bestFit="1" customWidth="1"/>
    <col min="4" max="4" width="10.90625" style="38"/>
  </cols>
  <sheetData>
    <row r="1" spans="1:4" ht="15" thickBot="1" x14ac:dyDescent="0.4">
      <c r="A1" s="3" t="s">
        <v>42</v>
      </c>
      <c r="B1" s="3" t="s">
        <v>43</v>
      </c>
      <c r="C1" s="3" t="s">
        <v>44</v>
      </c>
      <c r="D1" s="37" t="s">
        <v>114</v>
      </c>
    </row>
    <row r="2" spans="1:4" x14ac:dyDescent="0.35">
      <c r="A2" s="4" t="s">
        <v>45</v>
      </c>
      <c r="B2" s="6">
        <v>1</v>
      </c>
      <c r="C2" s="5" t="s">
        <v>46</v>
      </c>
      <c r="D2" s="38" t="s">
        <v>115</v>
      </c>
    </row>
    <row r="3" spans="1:4" x14ac:dyDescent="0.35">
      <c r="A3" s="7"/>
      <c r="B3" s="8">
        <v>2</v>
      </c>
      <c r="C3" t="s">
        <v>47</v>
      </c>
      <c r="D3" s="38" t="s">
        <v>115</v>
      </c>
    </row>
    <row r="4" spans="1:4" x14ac:dyDescent="0.35">
      <c r="A4" s="7"/>
      <c r="B4" s="8">
        <v>3</v>
      </c>
      <c r="C4" t="s">
        <v>48</v>
      </c>
      <c r="D4" s="38" t="s">
        <v>115</v>
      </c>
    </row>
    <row r="5" spans="1:4" x14ac:dyDescent="0.35">
      <c r="A5" s="7"/>
      <c r="B5" s="8">
        <v>4</v>
      </c>
      <c r="C5" t="s">
        <v>49</v>
      </c>
      <c r="D5" s="38" t="s">
        <v>115</v>
      </c>
    </row>
    <row r="6" spans="1:4" ht="15" thickBot="1" x14ac:dyDescent="0.4">
      <c r="A6" s="9"/>
      <c r="B6" s="11">
        <v>5</v>
      </c>
      <c r="C6" s="10" t="s">
        <v>50</v>
      </c>
      <c r="D6" s="38" t="s">
        <v>115</v>
      </c>
    </row>
    <row r="7" spans="1:4" x14ac:dyDescent="0.35">
      <c r="A7" s="4" t="s">
        <v>51</v>
      </c>
      <c r="B7" s="6">
        <v>6</v>
      </c>
      <c r="C7" s="5" t="s">
        <v>52</v>
      </c>
      <c r="D7" s="38" t="s">
        <v>115</v>
      </c>
    </row>
    <row r="8" spans="1:4" s="30" customFormat="1" x14ac:dyDescent="0.35">
      <c r="A8" s="28"/>
      <c r="B8" s="29">
        <v>7</v>
      </c>
      <c r="C8" s="30" t="s">
        <v>53</v>
      </c>
      <c r="D8" s="39" t="s">
        <v>116</v>
      </c>
    </row>
    <row r="9" spans="1:4" x14ac:dyDescent="0.35">
      <c r="A9" s="7"/>
      <c r="B9" s="8">
        <v>8</v>
      </c>
      <c r="C9" t="s">
        <v>54</v>
      </c>
      <c r="D9" s="38" t="s">
        <v>115</v>
      </c>
    </row>
    <row r="10" spans="1:4" x14ac:dyDescent="0.35">
      <c r="A10" s="7"/>
      <c r="B10" s="8">
        <v>9</v>
      </c>
      <c r="C10" t="s">
        <v>55</v>
      </c>
      <c r="D10" s="38" t="s">
        <v>115</v>
      </c>
    </row>
    <row r="11" spans="1:4" s="30" customFormat="1" ht="15" thickBot="1" x14ac:dyDescent="0.4">
      <c r="A11" s="31"/>
      <c r="B11" s="32">
        <v>10</v>
      </c>
      <c r="C11" s="33" t="s">
        <v>56</v>
      </c>
      <c r="D11" s="39" t="s">
        <v>116</v>
      </c>
    </row>
    <row r="12" spans="1:4" s="30" customFormat="1" ht="15.5" customHeight="1" x14ac:dyDescent="0.35">
      <c r="A12" s="34" t="s">
        <v>57</v>
      </c>
      <c r="B12" s="35">
        <v>11</v>
      </c>
      <c r="C12" s="36" t="s">
        <v>58</v>
      </c>
      <c r="D12" s="39" t="s">
        <v>116</v>
      </c>
    </row>
    <row r="13" spans="1:4" x14ac:dyDescent="0.35">
      <c r="A13" s="7"/>
      <c r="B13" s="8">
        <v>12</v>
      </c>
      <c r="C13" t="s">
        <v>59</v>
      </c>
      <c r="D13" s="38" t="s">
        <v>115</v>
      </c>
    </row>
    <row r="14" spans="1:4" x14ac:dyDescent="0.35">
      <c r="A14" s="7"/>
      <c r="B14" s="8">
        <v>13</v>
      </c>
      <c r="C14" t="s">
        <v>60</v>
      </c>
      <c r="D14" s="38" t="s">
        <v>115</v>
      </c>
    </row>
    <row r="15" spans="1:4" x14ac:dyDescent="0.35">
      <c r="A15" s="7"/>
      <c r="B15" s="8">
        <v>14</v>
      </c>
      <c r="C15" t="s">
        <v>61</v>
      </c>
      <c r="D15" s="38" t="s">
        <v>115</v>
      </c>
    </row>
    <row r="16" spans="1:4" ht="15" thickBot="1" x14ac:dyDescent="0.4">
      <c r="A16" s="9"/>
      <c r="B16" s="11">
        <v>15</v>
      </c>
      <c r="C16" s="10" t="s">
        <v>62</v>
      </c>
      <c r="D16" s="38" t="s">
        <v>115</v>
      </c>
    </row>
    <row r="17" spans="1:4" x14ac:dyDescent="0.35">
      <c r="A17" s="4" t="s">
        <v>63</v>
      </c>
      <c r="B17" s="6">
        <v>16</v>
      </c>
      <c r="C17" s="5" t="s">
        <v>64</v>
      </c>
      <c r="D17" s="38" t="s">
        <v>115</v>
      </c>
    </row>
    <row r="18" spans="1:4" x14ac:dyDescent="0.35">
      <c r="A18" s="7"/>
      <c r="B18" s="8">
        <v>17</v>
      </c>
      <c r="C18" t="s">
        <v>65</v>
      </c>
      <c r="D18" s="38" t="s">
        <v>115</v>
      </c>
    </row>
    <row r="19" spans="1:4" x14ac:dyDescent="0.35">
      <c r="A19" s="7"/>
      <c r="B19" s="8">
        <v>18</v>
      </c>
      <c r="C19" t="s">
        <v>66</v>
      </c>
      <c r="D19" s="38" t="s">
        <v>115</v>
      </c>
    </row>
    <row r="20" spans="1:4" x14ac:dyDescent="0.35">
      <c r="A20" s="7"/>
      <c r="B20" s="8">
        <v>19</v>
      </c>
      <c r="C20" t="s">
        <v>67</v>
      </c>
      <c r="D20" s="38" t="s">
        <v>115</v>
      </c>
    </row>
    <row r="21" spans="1:4" ht="15" thickBot="1" x14ac:dyDescent="0.4">
      <c r="A21" s="9"/>
      <c r="B21" s="11">
        <v>20</v>
      </c>
      <c r="C21" s="10" t="s">
        <v>68</v>
      </c>
      <c r="D21" s="38" t="s">
        <v>115</v>
      </c>
    </row>
    <row r="22" spans="1:4" s="25" customFormat="1" x14ac:dyDescent="0.35">
      <c r="A22" s="22" t="s">
        <v>69</v>
      </c>
      <c r="B22" s="23">
        <v>21</v>
      </c>
      <c r="C22" s="24" t="s">
        <v>70</v>
      </c>
      <c r="D22" s="40" t="s">
        <v>117</v>
      </c>
    </row>
    <row r="23" spans="1:4" x14ac:dyDescent="0.35">
      <c r="A23" s="7"/>
      <c r="B23" s="8">
        <v>22</v>
      </c>
      <c r="C23" t="s">
        <v>71</v>
      </c>
      <c r="D23" s="38" t="s">
        <v>115</v>
      </c>
    </row>
    <row r="24" spans="1:4" x14ac:dyDescent="0.35">
      <c r="A24" s="7"/>
      <c r="B24" s="8">
        <v>23</v>
      </c>
      <c r="C24" t="s">
        <v>72</v>
      </c>
      <c r="D24" s="38" t="s">
        <v>115</v>
      </c>
    </row>
    <row r="25" spans="1:4" s="25" customFormat="1" x14ac:dyDescent="0.35">
      <c r="A25" s="26"/>
      <c r="B25" s="27">
        <v>24</v>
      </c>
      <c r="C25" s="25" t="s">
        <v>73</v>
      </c>
      <c r="D25" s="40" t="s">
        <v>117</v>
      </c>
    </row>
    <row r="26" spans="1:4" ht="15" thickBot="1" x14ac:dyDescent="0.4">
      <c r="A26" s="9"/>
      <c r="B26" s="11">
        <v>25</v>
      </c>
      <c r="C26" s="10" t="s">
        <v>74</v>
      </c>
      <c r="D26" s="38" t="s">
        <v>115</v>
      </c>
    </row>
    <row r="27" spans="1:4" x14ac:dyDescent="0.35">
      <c r="A27" s="4" t="s">
        <v>75</v>
      </c>
      <c r="B27" s="6">
        <v>26</v>
      </c>
      <c r="C27" s="5" t="s">
        <v>76</v>
      </c>
      <c r="D27" s="38" t="s">
        <v>115</v>
      </c>
    </row>
    <row r="28" spans="1:4" x14ac:dyDescent="0.35">
      <c r="A28" s="7"/>
      <c r="B28" s="8">
        <v>27</v>
      </c>
      <c r="C28" t="s">
        <v>77</v>
      </c>
      <c r="D28" s="38" t="s">
        <v>115</v>
      </c>
    </row>
    <row r="29" spans="1:4" x14ac:dyDescent="0.35">
      <c r="A29" s="7"/>
      <c r="B29" s="8">
        <v>28</v>
      </c>
      <c r="C29" t="s">
        <v>78</v>
      </c>
      <c r="D29" s="38" t="s">
        <v>115</v>
      </c>
    </row>
    <row r="30" spans="1:4" x14ac:dyDescent="0.35">
      <c r="A30" s="7"/>
      <c r="B30" s="8">
        <v>29</v>
      </c>
      <c r="C30" t="s">
        <v>79</v>
      </c>
      <c r="D30" s="38" t="s">
        <v>115</v>
      </c>
    </row>
    <row r="31" spans="1:4" ht="15" thickBot="1" x14ac:dyDescent="0.4">
      <c r="A31" s="9"/>
      <c r="B31" s="11">
        <v>30</v>
      </c>
      <c r="C31" s="10" t="s">
        <v>80</v>
      </c>
      <c r="D31" s="38" t="s">
        <v>115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f406d6b-70e0-427c-b08d-4edfc77771aa" xsi:nil="true"/>
    <lcf76f155ced4ddcb4097134ff3c332f xmlns="35cc34c0-8a7c-49a4-9bf0-586e08dd1bd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D8AFF5D579648498FB3B0CB7792FC0F" ma:contentTypeVersion="19" ma:contentTypeDescription="Create a new document." ma:contentTypeScope="" ma:versionID="963fa2c9e1d0b84da3120996eaa63d27">
  <xsd:schema xmlns:xsd="http://www.w3.org/2001/XMLSchema" xmlns:xs="http://www.w3.org/2001/XMLSchema" xmlns:p="http://schemas.microsoft.com/office/2006/metadata/properties" xmlns:ns2="4b647d5e-f7bf-40c8-8173-2858b147d6fa" xmlns:ns3="35cc34c0-8a7c-49a4-9bf0-586e08dd1bd6" xmlns:ns4="ef406d6b-70e0-427c-b08d-4edfc77771aa" targetNamespace="http://schemas.microsoft.com/office/2006/metadata/properties" ma:root="true" ma:fieldsID="22f713ad58e205f90e1706a67aaa8243" ns2:_="" ns3:_="" ns4:_="">
    <xsd:import namespace="4b647d5e-f7bf-40c8-8173-2858b147d6fa"/>
    <xsd:import namespace="35cc34c0-8a7c-49a4-9bf0-586e08dd1bd6"/>
    <xsd:import namespace="ef406d6b-70e0-427c-b08d-4edfc77771a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EventHashCode" minOccurs="0"/>
                <xsd:element ref="ns3:MediaServiceGenerationTime" minOccurs="0"/>
                <xsd:element ref="ns3:MediaServiceLocation" minOccurs="0"/>
                <xsd:element ref="ns3:MediaServiceOCR" minOccurs="0"/>
                <xsd:element ref="ns3:MediaServiceAutoKeyPoints" minOccurs="0"/>
                <xsd:element ref="ns3:MediaServiceKeyPoint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647d5e-f7bf-40c8-8173-2858b147d6f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5cc34c0-8a7c-49a4-9bf0-586e08dd1bd6"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2f792e8-4dad-42c1-ad63-44982727bf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f406d6b-70e0-427c-b08d-4edfc77771aa"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b544bfc-3c22-4091-9051-661106f3fd4f}" ma:internalName="TaxCatchAll" ma:showField="CatchAllData" ma:web="4b647d5e-f7bf-40c8-8173-2858b147d6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72f792e8-4dad-42c1-ad63-44982727bf4d"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A5F0F9-03D6-475F-A19E-D4FEB042BEA1}">
  <ds:schemaRefs>
    <ds:schemaRef ds:uri="http://schemas.microsoft.com/office/2006/metadata/properties"/>
    <ds:schemaRef ds:uri="http://schemas.microsoft.com/office/infopath/2007/PartnerControls"/>
    <ds:schemaRef ds:uri="ef406d6b-70e0-427c-b08d-4edfc77771aa"/>
    <ds:schemaRef ds:uri="35cc34c0-8a7c-49a4-9bf0-586e08dd1bd6"/>
  </ds:schemaRefs>
</ds:datastoreItem>
</file>

<file path=customXml/itemProps2.xml><?xml version="1.0" encoding="utf-8"?>
<ds:datastoreItem xmlns:ds="http://schemas.openxmlformats.org/officeDocument/2006/customXml" ds:itemID="{6003575F-4867-49BC-947D-C257B7F5C5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647d5e-f7bf-40c8-8173-2858b147d6fa"/>
    <ds:schemaRef ds:uri="35cc34c0-8a7c-49a4-9bf0-586e08dd1bd6"/>
    <ds:schemaRef ds:uri="ef406d6b-70e0-427c-b08d-4edfc77771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F30419-6A5F-4D14-A9CB-80E9DDED2A7B}">
  <ds:schemaRefs>
    <ds:schemaRef ds:uri="Microsoft.SharePoint.Taxonomy.ContentTypeSync"/>
  </ds:schemaRefs>
</ds:datastoreItem>
</file>

<file path=customXml/itemProps4.xml><?xml version="1.0" encoding="utf-8"?>
<ds:datastoreItem xmlns:ds="http://schemas.openxmlformats.org/officeDocument/2006/customXml" ds:itemID="{5522A014-4A96-428F-A1C2-E09685273512}">
  <ds:schemaRefs>
    <ds:schemaRef ds:uri="http://schemas.microsoft.com/sharepoint/v3/contenttype/forms"/>
  </ds:schemaRefs>
</ds:datastoreItem>
</file>

<file path=docMetadata/LabelInfo.xml><?xml version="1.0" encoding="utf-8"?>
<clbl:labelList xmlns:clbl="http://schemas.microsoft.com/office/2020/mipLabelMetadata">
  <clbl:label id="{e8701075-0d9e-4ea1-991d-5a0d110a5d29}" enabled="0" method="" siteId="{e8701075-0d9e-4ea1-991d-5a0d110a5d29}"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Test protocol</vt:lpstr>
      <vt:lpstr>Peptidelist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Fabian Falkenberg</dc:creator>
  <cp:lastModifiedBy>Thiliban Manivarma</cp:lastModifiedBy>
  <dcterms:created xsi:type="dcterms:W3CDTF">2015-06-05T18:19:34Z</dcterms:created>
  <dcterms:modified xsi:type="dcterms:W3CDTF">2026-10-14T05:28:05Z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0x0101004D8AFF5D579648498FB3B0CB7792FC0F</vt:lpwstr>
  </property>
  <property fmtid="{D5CDD505-2E9C-101B-9397-08002B2CF9AE}" pid="3" name="MediaServiceImageTags">
    <vt:lpwstr/>
  </property>
</Properties>
</file>